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说明" sheetId="1" state="visible" r:id="rId1"/>
    <sheet name="1-GSPR对照表" sheetId="2" state="visible" r:id="rId2"/>
    <sheet name="2-自查统计" sheetId="3" state="visible" r:id="rId3"/>
    <sheet name="3-填写示例" sheetId="4" state="visible" r:id="rId4"/>
    <sheet name="4-签署与版本" sheetId="5" state="visible" r:id="rId5"/>
  </sheets>
  <definedNames>
    <definedName name="_xlnm._FilterDatabase" localSheetId="1" hidden="1">'1-GSPR对照表'!$A$1:$N$24</definedName>
    <definedName name="_xlnm.Print_Titles" localSheetId="1">'1-GSPR对照表'!$1:$1</definedName>
    <definedName name="_xlnm.Print_Area" localSheetId="1">'1-GSPR对照表'!$A$1:$N$24</definedName>
    <definedName name="_xlnm.Print_Titles" localSheetId="3">'3-填写示例'!$4:$4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20"/>
    </font>
    <font>
      <color rgb="00595959"/>
      <sz val="10"/>
    </font>
    <font>
      <sz val="10"/>
    </font>
    <font>
      <b val="1"/>
      <color rgb="002E5C8A"/>
      <sz val="12"/>
    </font>
    <font>
      <color rgb="009C0006"/>
      <sz val="10"/>
    </font>
    <font>
      <b val="1"/>
      <color rgb="00FFFFFF"/>
      <sz val="10"/>
    </font>
    <font>
      <b val="1"/>
      <color rgb="001F3864"/>
      <sz val="14"/>
    </font>
    <font>
      <b val="1"/>
      <sz val="10"/>
    </font>
    <font>
      <b val="1"/>
      <sz val="11"/>
    </font>
    <font>
      <color rgb="00595959"/>
      <sz val="9"/>
    </font>
    <font>
      <b val="1"/>
      <sz val="12"/>
    </font>
    <font>
      <color rgb="00404040"/>
      <sz val="10"/>
    </font>
    <font>
      <color rgb="00808080"/>
      <sz val="9"/>
    </font>
    <font>
      <color rgb="00404040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FFF2F2"/>
      </patternFill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2E5C8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vertical="center" wrapText="1"/>
    </xf>
    <xf numFmtId="0" fontId="3" fillId="0" borderId="1" pivotButton="0" quotePrefix="0" xfId="0"/>
    <xf numFmtId="0" fontId="11" fillId="0" borderId="1" applyAlignment="1" pivotButton="0" quotePrefix="0" xfId="0">
      <alignment horizontal="center"/>
    </xf>
    <xf numFmtId="0" fontId="12" fillId="0" borderId="0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0" pivotButton="0" quotePrefix="0" xfId="0"/>
    <xf numFmtId="0" fontId="8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regdoc-commons</author>
  </authors>
  <commentList>
    <comment ref="E1" authorId="0" shapeId="0">
      <text>
        <t>点这一格 → 右边出现下拉箭头 → 只能选：适用 / 部分适用 / 不适用。</t>
      </text>
    </comment>
    <comment ref="G1" authorId="0" shapeId="0">
      <text>
        <t>附录 II 4(b) 的「方法」：设计验证 / 设计确认 / 风险分析 / 过程确认 / 临床评价 / 标签与 IFU 评审。标准号写在右边 H 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1" ht="32" customHeight="1">
      <c r="B1" s="1" t="inlineStr">
        <is>
          <t>MDR 通用安全与性能要求（GSPR）对照表</t>
        </is>
      </c>
    </row>
    <row r="2">
      <c r="B2" s="2" t="inlineStr">
        <is>
          <t>欧盟 Regulation (EU) 2017/745 附录 I · 23 条 / 三章 · v1.2 · 2026-10-21</t>
        </is>
      </c>
    </row>
    <row r="3">
      <c r="B3" s="3" t="inlineStr"/>
    </row>
    <row r="4" ht="22" customHeight="1">
      <c r="B4" s="4" t="inlineStr">
        <is>
          <t>给谁用 · 第一次用的顺序</t>
        </is>
      </c>
    </row>
    <row r="5">
      <c r="B5" s="3" t="inlineStr">
        <is>
          <t>给制造商的技术文档负责人（RA / QA）用。填完它，你能回答审核员最常问的那句话：「这一条你怎么满足的，证据在哪一页？」</t>
        </is>
      </c>
    </row>
    <row r="6" ht="30" customHeight="1">
      <c r="B6" s="3" t="inlineStr">
        <is>
          <t>第一次用，按这个顺序走：① 先打开「3-填写示例」，5 行，看合格的一条长什么样 → ② 回本页往下读「怎么用」→ ③ 到「1-GSPR对照表」，先只填 E 列 → ④ 看「2-自查统计」，它会告诉你还差什么。</t>
        </is>
      </c>
    </row>
    <row r="7">
      <c r="B7" s="3" t="inlineStr"/>
    </row>
    <row r="8" ht="22" customHeight="1">
      <c r="B8" s="4" t="inlineStr">
        <is>
          <t>责任边界（只读一次）</t>
        </is>
      </c>
    </row>
    <row r="9" ht="45" customHeight="1">
      <c r="B9" s="5" t="inlineStr">
        <is>
          <t>本表不构成法规意见、法律意见或合规咨询意见，不替代 MDR 官方文本，也不构成对审评结果的任何预期或保证。本表能保证的是：23 条不漏、不适用必须写理由、每条都要有受控证据编号。本表不能保证的是：你的技术判断是否正确。后者须由具备相应资质的人员核实并签署（见「4-签署与版本」）。</t>
        </is>
      </c>
    </row>
    <row r="10">
      <c r="B10" s="3" t="inlineStr"/>
    </row>
    <row r="11" ht="22" customHeight="1">
      <c r="B11" s="4" t="inlineStr">
        <is>
          <t>这是什么 · 适用范围</t>
        </is>
      </c>
    </row>
    <row r="12" ht="45" customHeight="1">
      <c r="B12" s="3" t="inlineStr">
        <is>
          <t>MDR 附录 I 的 GSPR 条款对照表。技术文档必须说明哪些 GSPR 适用、不适用的理由、证明符合的方法、所采用的协调标准或通用规范，以及提供符合性证据的受控文件的确切标识（附录 II 第 4 节 (a)–(d)）。本表是把这四项写成可审查格式的载体。</t>
        </is>
      </c>
    </row>
    <row r="13" ht="45" customHeight="1">
      <c r="B13" s="3" t="inlineStr">
        <is>
          <t>适用范围：仅 Regulation (EU) 2017/745（MDR，Medical Device Regulation）下的医疗器械与附录 XVI 产品。不适用于体外诊断医疗器械（IVDR, (EU) 2017/746，其附录 I 编号与 MDR 不同，不可互换）、中国 NMPA 注册、美国 FDA 510(k)/PMA。</t>
        </is>
      </c>
    </row>
    <row r="14">
      <c r="B14" s="3" t="inlineStr"/>
    </row>
    <row r="15" ht="22" customHeight="1">
      <c r="B15" s="4" t="inlineStr">
        <is>
          <t>会让这张表静默出错的三件事</t>
        </is>
      </c>
    </row>
    <row r="16" ht="30" customHeight="1">
      <c r="B16" s="5" t="inlineStr">
        <is>
          <t>① 不要把别的表格整列粘贴进 E–K 列。粘贴会覆盖下拉选项与红黄绿提示，之后统计会静默失准，而界面看起来一切正常。要粘请用「选择性粘贴 → 数值」，粘完抽查两个格子看还有没有下拉箭头。</t>
        </is>
      </c>
    </row>
    <row r="17" ht="45" customHeight="1">
      <c r="B17" s="5" t="inlineStr">
        <is>
          <t>② 不要删除「1-GSPR对照表」里的整条。删掉整条会让自查统计失真（统计页第一项会显示条数不是 23，以此识别）。需要拆分细小条目时请用「插入行」，在原有条下方插，A 列填 14.1 / 14.2…——插入行不影响条数校验。</t>
        </is>
      </c>
    </row>
    <row r="18" ht="30" customHeight="1">
      <c r="B18" s="5" t="inlineStr">
        <is>
          <t>③ 本文件里存的是公式，不是计算结果。必须用 Excel 或 WPS 打开才显示统计；用微信、邮件附件或网页预览会显示 0。</t>
        </is>
      </c>
    </row>
    <row r="19">
      <c r="B19" s="3" t="inlineStr"/>
    </row>
    <row r="20" ht="22" customHeight="1">
      <c r="B20" s="4" t="inlineStr">
        <is>
          <t>怎么用</t>
        </is>
      </c>
    </row>
    <row r="21" ht="30" customHeight="1">
      <c r="B21" s="3" t="inlineStr">
        <is>
          <t>① E 列选适用性。第 I 章（第 9 条除外）与第 III 章对全部器械适用；第 II 章按器械技术特性逐条判断。E 列每一格都能点开下拉——选中后格子右边会冒出小箭头，看不见箭头就先点一下格子。</t>
        </is>
      </c>
    </row>
    <row r="22" ht="30" customHeight="1">
      <c r="B22" s="3" t="inlineStr">
        <is>
          <t>② 第 II 章的 10、11、14、20 条对绝大多数器械都适用。选「不适用」应是例外而非默认——公告机构最常见的第一号缺陷，就是一整列没有理由的 N/A。</t>
        </is>
      </c>
    </row>
    <row r="23" ht="30" customHeight="1">
      <c r="B23" s="3" t="inlineStr">
        <is>
          <t>③ 「部分适用」是本表增加的工作分类，法规文字只有「适用」与「不适用并说明理由」两种。用「部分适用」时，必须在 F 列写明哪一部分不适用、为什么；否则它就是一个躲过审查的空档。</t>
        </is>
      </c>
    </row>
    <row r="24" ht="45" customHeight="1">
      <c r="B24" s="3" t="inlineStr">
        <is>
          <t>④ 第 9 条不是一条独立要求。它的原文意思是：对附录 XVI 产品，第 1 条与第 8 条应理解为「使用时完全不存在风险，或风险不超过与高水平健康保护相一致的最大可接受风险」。做附录 XVI 产品时，第 1、8 条的结论必须按此重述。常规器械在第 9 条选「不适用」并写一行理由即可。</t>
        </is>
      </c>
    </row>
    <row r="25" ht="30" customHeight="1">
      <c r="B25" s="3" t="inlineStr">
        <is>
          <t>⑤ G 列选证明方法（附录 II 4(b)）：设计验证、设计确认、风险分析、过程确认、临床评价、标签与 IFU 评审等。H 列写所采用的协调标准或通用规范（4(c)）。这两列不是重复：一个是「你用什么手段证明」，一个是「你依据哪份文件」。</t>
        </is>
      </c>
    </row>
    <row r="26" ht="30" customHeight="1">
      <c r="B26" s="3" t="inlineStr">
        <is>
          <t>⑥ I/J 列写受控证据文件的确切标识与位置（4(d)）。「风险分析报告.pdf」和「QMS-RA-001 v2.1」不是一回事，只有后者可被追溯。</t>
        </is>
      </c>
    </row>
    <row r="27" ht="45" customHeight="1">
      <c r="B27" s="3" t="inlineStr">
        <is>
          <t>⑦ 第 14、18、23 条各含多个独立子要求（14.1–14.7、18.1–18.8、23.1–23.4，且 23.1 内含 (a)–(k)）。用一行覆盖整条会掩盖内部差异。需要细化时，在该条下方插入行，A 列填 14.1 / 14.2…，并在备注列注明。</t>
        </is>
      </c>
    </row>
    <row r="28">
      <c r="B28" s="3" t="inlineStr"/>
    </row>
    <row r="29" ht="22" customHeight="1">
      <c r="B29" s="4" t="inlineStr">
        <is>
          <t>还没有文件编号体系？先这样填，不要卡住</t>
        </is>
      </c>
    </row>
    <row r="30" ht="30" customHeight="1">
      <c r="B30" s="3" t="inlineStr">
        <is>
          <t>I 列先写「文件名 + 版本 + 日期」，例如「风险管理报告 v2.1 2026-03-14」；J 列写「章节 + 页码」。等编号体系建起来后统一替换，替换前在 N 列备注「编号待统一」。</t>
        </is>
      </c>
    </row>
    <row r="31">
      <c r="B31" s="3" t="inlineStr">
        <is>
          <t>不要因为编号没有就留空——留空是审核时最容易被追问的一项，写了待补反而说得清。</t>
        </is>
      </c>
    </row>
    <row r="32">
      <c r="B32" s="3" t="inlineStr"/>
    </row>
    <row r="33" ht="22" customHeight="1">
      <c r="B33" s="4" t="inlineStr">
        <is>
          <t>两条容易混的地方</t>
        </is>
      </c>
    </row>
    <row r="34" ht="30" customHeight="1">
      <c r="B34" s="3" t="inlineStr">
        <is>
          <t>第 10–23 条的 D 列是 MDR 官方节标题原文；第 1–9 条在法规原文里本来就没有条标题，所以 D 列是空的——空的地方，就是法规原文没有的地方。第 1–9 条的主题只写在本表 C 列，是整理出来的，不是原文，引用时不要混用。</t>
        </is>
      </c>
    </row>
    <row r="35" ht="30" customHeight="1">
      <c r="B35" s="3" t="inlineStr">
        <is>
          <t>法规强制的是附录 II 第 4 节要求的内容，不强制这个表格形式。本表把那四项要求做成一页可审查的格式，公告机构也接受同样的内容以别的形式提交——所以填的是内容，不是这张表。</t>
        </is>
      </c>
    </row>
    <row r="36">
      <c r="B36" s="3" t="inlineStr"/>
    </row>
    <row r="37" ht="22" customHeight="1">
      <c r="B37" s="4" t="inlineStr">
        <is>
          <t>术语</t>
        </is>
      </c>
    </row>
    <row r="38">
      <c r="B38" s="3" t="inlineStr">
        <is>
          <t>MDR = Medical Device Regulation，即 Regulation (EU) 2017/745。</t>
        </is>
      </c>
    </row>
    <row r="39">
      <c r="B39" s="3" t="inlineStr">
        <is>
          <t>GSPR = General Safety and Performance Requirements，通用安全与性能要求，MDR 附录 I。</t>
        </is>
      </c>
    </row>
    <row r="40" ht="30" customHeight="1">
      <c r="B40" s="3" t="inlineStr">
        <is>
          <t>OJ = Official Journal of the European Union，欧盟官方公报，法规的公布载体。本表说的「OJ 原文」指在 OJ 上公布的 MDR 正文。</t>
        </is>
      </c>
    </row>
    <row r="41">
      <c r="B41" s="3" t="inlineStr">
        <is>
          <t>通用规范（CS, common specifications）= 欧盟委员会依 MDR 第 9 条制定的法定技术规范，效力等同协调标准。</t>
        </is>
      </c>
    </row>
    <row r="42" ht="30" customHeight="1">
      <c r="B42" s="3" t="inlineStr">
        <is>
          <t>公告机构（NB, Notified Body）= 欧盟成员国指定、对中高风险器械实施符合性评估的机构。I 类非无菌非测量器械通常不经公告机构，走自我声明。</t>
        </is>
      </c>
    </row>
    <row r="43" ht="30" customHeight="1">
      <c r="B43" s="3" t="inlineStr">
        <is>
          <t>UDI = Unique Device Identification，唯一器械标识。Basic UDI-DI 标识一个型号组；UDI-DI 标识具体型号或变体（不同型号、变体、包装各一个）。</t>
        </is>
      </c>
    </row>
    <row r="44" ht="30" customHeight="1">
      <c r="B44" s="3" t="inlineStr">
        <is>
          <t>附录 XVI = MDR 适用的「无预期医疗用途」产品清单（如彩色隐形镜片、皮下填充物、抽脂/溶脂设备、皮肤磨削激光等）。常规器械不涉及；第 9 条通常填「不适用」并写一行理由。</t>
        </is>
      </c>
    </row>
    <row r="45">
      <c r="B45" s="3" t="inlineStr"/>
    </row>
    <row r="46" ht="22" customHeight="1">
      <c r="B46" s="4" t="inlineStr">
        <is>
          <t>MDR 附录 I 的结构</t>
        </is>
      </c>
    </row>
    <row r="47">
      <c r="B47" s="3" t="inlineStr">
        <is>
          <t>第 I 章  第 1–9 条    一般要求（各国条原文无标题；第 9 条仅对附录 XVI 产品有规范意义）</t>
        </is>
      </c>
    </row>
    <row r="48">
      <c r="B48" s="3" t="inlineStr">
        <is>
          <t>第 II 章 第 10–22 条  设计与制造要求（各国条有官方标题）</t>
        </is>
      </c>
    </row>
    <row r="49">
      <c r="B49" s="3" t="inlineStr">
        <is>
          <t>第 III 章 第 23 条    随附信息要求（标签与使用说明书）</t>
        </is>
      </c>
    </row>
    <row r="50">
      <c r="B50" s="3" t="inlineStr"/>
    </row>
    <row r="51" ht="22" customHeight="1">
      <c r="B51" s="4" t="inlineStr">
        <is>
          <t>两种常见填错</t>
        </is>
      </c>
    </row>
    <row r="52">
      <c r="B52" s="3" t="inlineStr">
        <is>
          <t>· 把「部分适用」当「不适用」用，却不写范围。部分适用仍然要给证据，否则审查方会要求补。</t>
        </is>
      </c>
    </row>
    <row r="53">
      <c r="B53" s="3" t="inlineStr">
        <is>
          <t>· 只写标准号不写条款号。审核员要在几百页报告里定位复核，实践中会被要求补充 —— 这是行业惯例，不是法规条文的要求，但不写就要返工。</t>
        </is>
      </c>
    </row>
    <row r="54">
      <c r="B54" s="3" t="inlineStr"/>
    </row>
    <row r="55" ht="22" customHeight="1">
      <c r="B55" s="4" t="inlineStr">
        <is>
          <t>来源与许可</t>
        </is>
      </c>
    </row>
    <row r="56" ht="45" customHeight="1">
      <c r="B56" s="3" t="inlineStr">
        <is>
          <t>法规依据：Regulation (EU) 2017/745（MDR）附录 I、附录 II 第 4 节。官方文本：https://eur-lex.europa.eu/eli/reg/2017/745/oj （CELEX 32017R0745；以最新整合版 consolidated version 为准）。</t>
        </is>
      </c>
    </row>
    <row r="57">
      <c r="B57" s="3" t="inlineStr">
        <is>
          <t>第 10–23 条英文标题引自上述法规原文，© European Union，依 Decision 2011/833/EU 可再利用。</t>
        </is>
      </c>
    </row>
    <row r="58">
      <c r="B58" s="3" t="inlineStr">
        <is>
          <t>本表的结构、字段设计与说明文字：CC BY 4.0（可自由使用、修改、商用，保留署名）。</t>
        </is>
      </c>
    </row>
    <row r="59" ht="30" customHeight="1">
      <c r="B59" s="3" t="inlineStr">
        <is>
          <t>编制：MedXpert · 版本 v1.2 · 2026-10-21。项目与更新：https://github.com/stevenzhao07/regdoc-commons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24" customWidth="1" min="3" max="3"/>
    <col width="52" customWidth="1" min="4" max="4"/>
    <col width="12" customWidth="1" min="5" max="5"/>
    <col width="36" customWidth="1" min="6" max="6"/>
    <col width="17" customWidth="1" min="7" max="7"/>
    <col width="30" customWidth="1" min="8" max="8"/>
    <col width="26" customWidth="1" min="9" max="9"/>
    <col width="18" customWidth="1" min="10" max="10"/>
    <col width="12" customWidth="1" min="11" max="11"/>
    <col width="9" customWidth="1" min="12" max="12"/>
    <col width="15" customWidth="1" min="13" max="13"/>
    <col width="18" customWidth="1" min="14" max="14"/>
  </cols>
  <sheetData>
    <row r="1" ht="58" customHeight="1">
      <c r="A1" s="6" t="inlineStr">
        <is>
          <t>条款号</t>
        </is>
      </c>
      <c r="B1" s="6" t="inlineStr">
        <is>
          <t>章</t>
        </is>
      </c>
      <c r="C1" s="6" t="inlineStr">
        <is>
          <t>主题（第 1–9 条为整理名，不是原文）</t>
        </is>
      </c>
      <c r="D1" s="6" t="inlineStr">
        <is>
          <t>官方标题（MDR 原文；第 1–9 条原文无标题，故留空）</t>
        </is>
      </c>
      <c r="E1" s="6" t="inlineStr">
        <is>
          <t>适用性 ▼</t>
        </is>
      </c>
      <c r="F1" s="6" t="inlineStr">
        <is>
          <t>不适用理由 / 部分适用的范围说明（选「不适用」或「部分适用」时必填）</t>
        </is>
      </c>
      <c r="G1" s="6" t="inlineStr">
        <is>
          <t>符合性方法（附录 II 4(b)）</t>
        </is>
      </c>
      <c r="H1" s="6" t="inlineStr">
        <is>
          <t>引用标准 / 通用规范 / 其他方案（附录 II 4(c)）</t>
        </is>
      </c>
      <c r="I1" s="6" t="inlineStr">
        <is>
          <t>受控证据文件标识（附录 II 4(d)，编号+版本）</t>
        </is>
      </c>
      <c r="J1" s="6" t="inlineStr">
        <is>
          <t>证据在技术文档中的位置（章节/页码）</t>
        </is>
      </c>
      <c r="K1" s="6" t="inlineStr">
        <is>
          <t>符合性结论 ▼</t>
        </is>
      </c>
      <c r="L1" s="6" t="inlineStr">
        <is>
          <t>跟进人</t>
        </is>
      </c>
      <c r="M1" s="6" t="inlineStr">
        <is>
          <t>批准人 / 日期</t>
        </is>
      </c>
      <c r="N1" s="6" t="inlineStr">
        <is>
          <t>备注</t>
        </is>
      </c>
    </row>
    <row r="2">
      <c r="A2" s="7" t="n">
        <v>1</v>
      </c>
      <c r="B2" s="7" t="inlineStr">
        <is>
          <t>I</t>
        </is>
      </c>
      <c r="C2" s="7" t="inlineStr">
        <is>
          <t>安全与性能（不得损害临床状况与安全）</t>
        </is>
      </c>
      <c r="D2" s="8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7" t="n">
        <v>2</v>
      </c>
      <c r="B3" s="7" t="inlineStr">
        <is>
          <t>I</t>
        </is>
      </c>
      <c r="C3" s="7" t="inlineStr">
        <is>
          <t>「尽可能降低风险」的含义（不得损害受益-风险比）</t>
        </is>
      </c>
      <c r="D3" s="8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>
      <c r="A4" s="7" t="n">
        <v>3</v>
      </c>
      <c r="B4" s="7" t="inlineStr">
        <is>
          <t>I</t>
        </is>
      </c>
      <c r="C4" s="7" t="inlineStr">
        <is>
          <t>风险管理体系</t>
        </is>
      </c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7" t="n">
        <v>4</v>
      </c>
      <c r="B5" s="7" t="inlineStr">
        <is>
          <t>I</t>
        </is>
      </c>
      <c r="C5" s="7" t="inlineStr">
        <is>
          <t>风险控制措施的优先顺序</t>
        </is>
      </c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7" t="n">
        <v>5</v>
      </c>
      <c r="B6" s="7" t="inlineStr">
        <is>
          <t>I</t>
        </is>
      </c>
      <c r="C6" s="7" t="inlineStr">
        <is>
          <t>使用错误与合理可预见误用的风险</t>
        </is>
      </c>
      <c r="D6" s="8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7" t="n">
        <v>6</v>
      </c>
      <c r="B7" s="7" t="inlineStr">
        <is>
          <t>I</t>
        </is>
      </c>
      <c r="C7" s="7" t="inlineStr">
        <is>
          <t>使用寿命内的性能</t>
        </is>
      </c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7" t="n">
        <v>7</v>
      </c>
      <c r="B8" s="7" t="inlineStr">
        <is>
          <t>I</t>
        </is>
      </c>
      <c r="C8" s="7" t="inlineStr">
        <is>
          <t>运输与储存</t>
        </is>
      </c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7" t="n">
        <v>8</v>
      </c>
      <c r="B9" s="7" t="inlineStr">
        <is>
          <t>I</t>
        </is>
      </c>
      <c r="C9" s="7" t="inlineStr">
        <is>
          <t>受益-风险可接受性</t>
        </is>
      </c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7" t="n">
        <v>9</v>
      </c>
      <c r="B10" s="7" t="inlineStr">
        <is>
          <t>I</t>
        </is>
      </c>
      <c r="C10" s="7" t="inlineStr">
        <is>
          <t>附录 XVI 产品：第 1 条与第 8 条应如何理解</t>
        </is>
      </c>
      <c r="D10" s="8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10" t="n">
        <v>10</v>
      </c>
      <c r="B11" s="10" t="inlineStr">
        <is>
          <t>II</t>
        </is>
      </c>
      <c r="C11" s="10" t="inlineStr">
        <is>
          <t>化学、物理与生物学特性</t>
        </is>
      </c>
      <c r="D11" s="9" t="inlineStr">
        <is>
          <t>Chemical, physical and biological properties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10" t="n">
        <v>11</v>
      </c>
      <c r="B12" s="10" t="inlineStr">
        <is>
          <t>II</t>
        </is>
      </c>
      <c r="C12" s="10" t="inlineStr">
        <is>
          <t>感染与微生物污染</t>
        </is>
      </c>
      <c r="D12" s="9" t="inlineStr">
        <is>
          <t>Infection and microbial contamination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10" t="n">
        <v>12</v>
      </c>
      <c r="B13" s="10" t="inlineStr">
        <is>
          <t>II</t>
        </is>
      </c>
      <c r="C13" s="10" t="inlineStr">
        <is>
          <t>含药物成分的器械；以及由被人体吸收或局部弥散的物质构成的器械</t>
        </is>
      </c>
      <c r="D13" s="9" t="inlineStr">
        <is>
          <t>Devices incorporating a substance considered to be a medicinal product and devices that are composed of substances or of combinations of substances that are absorbed by or locally dispersed in the human body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10" t="n">
        <v>13</v>
      </c>
      <c r="B14" s="10" t="inlineStr">
        <is>
          <t>II</t>
        </is>
      </c>
      <c r="C14" s="10" t="inlineStr">
        <is>
          <t>含生物源材料的器械</t>
        </is>
      </c>
      <c r="D14" s="9" t="inlineStr">
        <is>
          <t>Devices incorporating materials of biological origin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10" t="n">
        <v>14</v>
      </c>
      <c r="B15" s="10" t="inlineStr">
        <is>
          <t>II</t>
        </is>
      </c>
      <c r="C15" s="10" t="inlineStr">
        <is>
          <t>器械结构及其与使用环境的交互</t>
        </is>
      </c>
      <c r="D15" s="9" t="inlineStr">
        <is>
          <t>Construction of devices and interaction with their environment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10" t="n">
        <v>15</v>
      </c>
      <c r="B16" s="10" t="inlineStr">
        <is>
          <t>II</t>
        </is>
      </c>
      <c r="C16" s="10" t="inlineStr">
        <is>
          <t>具有诊断或测量功能的器械</t>
        </is>
      </c>
      <c r="D16" s="9" t="inlineStr">
        <is>
          <t>Devices with a diagnostic or measuring function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10" t="n">
        <v>16</v>
      </c>
      <c r="B17" s="10" t="inlineStr">
        <is>
          <t>II</t>
        </is>
      </c>
      <c r="C17" s="10" t="inlineStr">
        <is>
          <t>辐射防护</t>
        </is>
      </c>
      <c r="D17" s="9" t="inlineStr">
        <is>
          <t>Protection against radiation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10" t="n">
        <v>17</v>
      </c>
      <c r="B18" s="10" t="inlineStr">
        <is>
          <t>II</t>
        </is>
      </c>
      <c r="C18" s="10" t="inlineStr">
        <is>
          <t>电子可编程系统——含该系统的器械，以及本身即为器械的软件</t>
        </is>
      </c>
      <c r="D18" s="9" t="inlineStr">
        <is>
          <t>Electronic programmable systems — devices that incorporate electronic programmable systems and software that are devices in themselves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10" t="n">
        <v>18</v>
      </c>
      <c r="B19" s="10" t="inlineStr">
        <is>
          <t>II</t>
        </is>
      </c>
      <c r="C19" s="10" t="inlineStr">
        <is>
          <t>有源器械及与其连接的器械</t>
        </is>
      </c>
      <c r="D19" s="9" t="inlineStr">
        <is>
          <t>Active devices and devices connected to them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10" t="n">
        <v>19</v>
      </c>
      <c r="B20" s="10" t="inlineStr">
        <is>
          <t>II</t>
        </is>
      </c>
      <c r="C20" s="10" t="inlineStr">
        <is>
          <t>有源植入器械的特别要求</t>
        </is>
      </c>
      <c r="D20" s="9" t="inlineStr">
        <is>
          <t>Particular requirements for active implantable devices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10" t="n">
        <v>20</v>
      </c>
      <c r="B21" s="10" t="inlineStr">
        <is>
          <t>II</t>
        </is>
      </c>
      <c r="C21" s="10" t="inlineStr">
        <is>
          <t>机械与热风险防护</t>
        </is>
      </c>
      <c r="D21" s="9" t="inlineStr">
        <is>
          <t>Protection against mechanical and thermal risks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10" t="n">
        <v>21</v>
      </c>
      <c r="B22" s="10" t="inlineStr">
        <is>
          <t>II</t>
        </is>
      </c>
      <c r="C22" s="10" t="inlineStr">
        <is>
          <t>对输送能量或物质的器械所致患者/使用者风险的防护</t>
        </is>
      </c>
      <c r="D22" s="9" t="inlineStr">
        <is>
          <t>Protection against the risks posed to the patient or user by devices supplying energy or substances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10" t="n">
        <v>22</v>
      </c>
      <c r="B23" s="10" t="inlineStr">
        <is>
          <t>II</t>
        </is>
      </c>
      <c r="C23" s="10" t="inlineStr">
        <is>
          <t>对制造商预期供非专业人员使用的器械所致风险的防护</t>
        </is>
      </c>
      <c r="D23" s="9" t="inlineStr">
        <is>
          <t>Protection against the risks posed by medical devices intended by the manufacturer for use by lay persons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7" t="n">
        <v>23</v>
      </c>
      <c r="B24" s="7" t="inlineStr">
        <is>
          <t>III</t>
        </is>
      </c>
      <c r="C24" s="7" t="inlineStr">
        <is>
          <t>标签与使用说明书</t>
        </is>
      </c>
      <c r="D24" s="9" t="inlineStr">
        <is>
          <t>Label and instructions for use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</sheetData>
  <autoFilter ref="A1:N24"/>
  <conditionalFormatting sqref="F2:F24">
    <cfRule type="expression" priority="1" dxfId="0">
      <formula>AND($E2="不适用",LEN(TRIM($F2))=0)</formula>
    </cfRule>
    <cfRule type="expression" priority="2" dxfId="0">
      <formula>AND($E2="部分适用",LEN(TRIM($F2))=0)</formula>
    </cfRule>
    <cfRule type="expression" priority="3" dxfId="1">
      <formula>AND(OR($E2="不适用",$E2="部分适用"),LEN(TRIM($F2))&gt;0,LEN(TRIM($F2))&lt;10)</formula>
    </cfRule>
  </conditionalFormatting>
  <conditionalFormatting sqref="K2:K24">
    <cfRule type="expression" priority="4" dxfId="0">
      <formula>$K2="缺口"</formula>
    </cfRule>
    <cfRule type="expression" priority="5" dxfId="1">
      <formula>$K2="部分符合"</formula>
    </cfRule>
    <cfRule type="expression" priority="6" dxfId="2">
      <formula>$K2="符合"</formula>
    </cfRule>
  </conditionalFormatting>
  <conditionalFormatting sqref="E2:E24">
    <cfRule type="expression" priority="7" dxfId="3">
      <formula>LEN(TRIM($E2))=0</formula>
    </cfRule>
  </conditionalFormatting>
  <conditionalFormatting sqref="G2:G24">
    <cfRule type="expression" priority="8" dxfId="1">
      <formula>AND($E2="适用",LEN(TRIM($G2))=0)</formula>
    </cfRule>
  </conditionalFormatting>
  <conditionalFormatting sqref="I2:I24">
    <cfRule type="expression" priority="9" dxfId="1">
      <formula>AND(LEN(TRIM($G2))&gt;0,$G2&lt;&gt;"其他",LEN(TRIM($I2))=0)</formula>
    </cfRule>
  </conditionalFormatting>
  <conditionalFormatting sqref="E10">
    <cfRule type="expression" priority="10" dxfId="1">
      <formula>$E10="适用"</formula>
    </cfRule>
  </conditionalFormatting>
  <dataValidations count="3">
    <dataValidation sqref="E2:E24" showDropDown="0" showInputMessage="1" showErrorMessage="1" allowBlank="1" errorTitle="适用性取值受限" error="请从下拉中选择：适用 / 部分适用 / 不适用" promptTitle="适用性" prompt="点这一格 → 右边出现下拉箭头 → 只能选：适用 / 部分适用 / 不适用。手打也可以，但必须一字不差。" type="list">
      <formula1>"适用,部分适用,不适用"</formula1>
    </dataValidation>
    <dataValidation sqref="G2:G24" showDropDown="0" showInputMessage="1" showErrorMessage="1" allowBlank="1" errorTitle="符合性方法取值受限" error="请从下拉中选择，或选「其他」后在本列右侧或备注说明" promptTitle="符合性方法" prompt="附录 II 4(b)：你用什么手段证明符合。标准号写右边 H 列。" type="list">
      <formula1>"设计验证,设计确认,风险分析,过程确认,临床评价,标签与IFU评审,其他"</formula1>
    </dataValidation>
    <dataValidation sqref="K2:K24" showDropDown="0" showInputMessage="0" showErrorMessage="1" allowBlank="1" errorTitle="结论取值受限" error="请从下拉中选择：符合 / 部分符合 / 缺口" type="list">
      <formula1>"符合,部分符合,缺口"</formula1>
    </dataValidation>
  </dataValidations>
  <pageMargins left="0.75" right="0.75" top="1" bottom="1" header="0.5" footer="0.5"/>
  <pageSetup orientation="landscape" paperSize="9" fitToHeight="0" fitToWidth="1"/>
  <headerFooter>
    <oddHeader>&amp;CMDR GSPR 对照表 v1.2</oddHeader>
    <oddFooter>&amp;L本表不构成法规意见，不替代官方文本；结论须由具备资质人员签署&amp;R第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68" customWidth="1" min="4" max="4"/>
  </cols>
  <sheetData>
    <row r="1">
      <c r="B1" s="11" t="inlineStr">
        <is>
          <t>自查统计（随填写实时更新）</t>
        </is>
      </c>
    </row>
    <row r="2">
      <c r="B2" s="12" t="inlineStr">
        <is>
          <t>本页只做计数，不做判定。数字为 0 表示这几项机械检查已清空，不代表合规、不代表可提交、不代表任何审评结论。</t>
        </is>
      </c>
    </row>
    <row r="4">
      <c r="B4" s="13" t="inlineStr">
        <is>
          <t>指标</t>
        </is>
      </c>
      <c r="C4" s="13" t="inlineStr">
        <is>
          <t>条数</t>
        </is>
      </c>
      <c r="D4" s="13" t="inlineStr">
        <is>
          <t>说明 / 怎么处理</t>
        </is>
      </c>
    </row>
    <row r="5" ht="30" customHeight="1">
      <c r="B5" s="14" t="inlineStr">
        <is>
          <t>GSPR 标准条数（必须为 23）</t>
        </is>
      </c>
      <c r="C5" s="15">
        <f>SUMPRODUCT(--(COUNTIF('1-GSPR对照表'!$A$2:$A$300,ROW($1:$23))&gt;0))</f>
        <v/>
      </c>
      <c r="D5" s="16" t="inlineStr">
        <is>
          <t>不等于 23 = 有整条被删除，本页其余数字全部失效。插入的 14.1 等子条不计入这一项，不影响校验。</t>
        </is>
      </c>
    </row>
    <row r="6" ht="30" customHeight="1">
      <c r="B6" s="17" t="inlineStr">
        <is>
          <t>① 适用性未填</t>
        </is>
      </c>
      <c r="C6" s="15">
        <f>SUMPRODUCT(--(LEN(TRIM('1-GSPR对照表'!$E$2:$E$24))=0))</f>
        <v/>
      </c>
      <c r="D6" s="16" t="inlineStr">
        <is>
          <t>每一条都必须做判断，不能留空</t>
        </is>
      </c>
    </row>
    <row r="7" ht="30" customHeight="1">
      <c r="B7" s="17" t="inlineStr">
        <is>
          <t>② 不适用或部分适用但未写理由</t>
        </is>
      </c>
      <c r="C7" s="15">
        <f>SUMPRODUCT((TRIM('1-GSPR对照表'!$E$2:$E$24)="不适用")*(LEN(TRIM('1-GSPR对照表'!$F$2:$F$24))=0))+SUMPRODUCT((TRIM('1-GSPR对照表'!$E$2:$E$24)="部分适用")*(LEN(TRIM('1-GSPR对照表'!$F$2:$F$24))=0))</f>
        <v/>
      </c>
      <c r="D7" s="16" t="inlineStr">
        <is>
          <t>法规要求不适用须说明理由；部分适用须说明范围</t>
        </is>
      </c>
    </row>
    <row r="8" ht="30" customHeight="1">
      <c r="B8" s="17" t="inlineStr">
        <is>
          <t>③ 结论为缺口</t>
        </is>
      </c>
      <c r="C8" s="15">
        <f>SUMPRODUCT(--(TRIM('1-GSPR对照表'!$K$2:$K$24)="缺口"))</f>
        <v/>
      </c>
      <c r="D8" s="16" t="inlineStr">
        <is>
          <t>提交前必须关闭或书面说明</t>
        </is>
      </c>
    </row>
    <row r="9" ht="30" customHeight="1">
      <c r="B9" s="17" t="inlineStr">
        <is>
          <t>④ 结论未填</t>
        </is>
      </c>
      <c r="C9" s="15">
        <f>SUMPRODUCT(--(LEN(TRIM('1-GSPR对照表'!$K$2:$K$24))=0))</f>
        <v/>
      </c>
      <c r="D9" s="16" t="inlineStr">
        <is>
          <t>填了适用性却没有结论，等于没做评估</t>
        </is>
      </c>
    </row>
    <row r="10" ht="30" customHeight="1">
      <c r="B10" s="17" t="inlineStr">
        <is>
          <t>⑤ 有方法但未写受控证据文件标识</t>
        </is>
      </c>
      <c r="C10" s="15">
        <f>SUMPRODUCT((LEN(TRIM('1-GSPR对照表'!$G$2:$G$24))&gt;0)*(TRIM('1-GSPR对照表'!$G$2:$G$24)&lt;&gt;"其他")*(LEN(TRIM('1-GSPR对照表'!$I$2:$I$24))=0))</f>
        <v/>
      </c>
      <c r="D10" s="16" t="inlineStr">
        <is>
          <t>附录 II 4(d) 要求证据文件的确切标识，缺失即无法追溯</t>
        </is>
      </c>
    </row>
    <row r="12" ht="30" customHeight="1">
      <c r="B12" s="17" t="inlineStr">
        <is>
          <t>参考：适用</t>
        </is>
      </c>
      <c r="C12" s="15">
        <f>SUMPRODUCT(--(TRIM('1-GSPR对照表'!$E$2:$E$24)="适用"))</f>
        <v/>
      </c>
      <c r="D12" s="16" t="inlineStr"/>
    </row>
    <row r="13" ht="30" customHeight="1">
      <c r="B13" s="17" t="inlineStr">
        <is>
          <t>参考：部分适用</t>
        </is>
      </c>
      <c r="C13" s="15">
        <f>SUMPRODUCT(--(TRIM('1-GSPR对照表'!$E$2:$E$24)="部分适用"))</f>
        <v/>
      </c>
      <c r="D13" s="16" t="inlineStr">
        <is>
          <t>须在 F 列写明哪一部分不适用</t>
        </is>
      </c>
    </row>
    <row r="14" ht="30" customHeight="1">
      <c r="B14" s="17" t="inlineStr">
        <is>
          <t>参考：不适用</t>
        </is>
      </c>
      <c r="C14" s="15">
        <f>SUMPRODUCT(--(TRIM('1-GSPR对照表'!$E$2:$E$24)="不适用"))</f>
        <v/>
      </c>
      <c r="D14" s="16" t="inlineStr">
        <is>
          <t>第 II 章多数条适用，N/A 应是例外</t>
        </is>
      </c>
    </row>
    <row r="15" ht="30" customHeight="1">
      <c r="B15" s="17" t="inlineStr">
        <is>
          <t>参考：结论符合</t>
        </is>
      </c>
      <c r="C15" s="15">
        <f>SUMPRODUCT(--(TRIM('1-GSPR对照表'!$K$2:$K$24)="符合"))</f>
        <v/>
      </c>
      <c r="D15" s="16" t="inlineStr"/>
    </row>
    <row r="16" ht="30" customHeight="1">
      <c r="B16" s="17" t="inlineStr">
        <is>
          <t>参考：结论部分符合</t>
        </is>
      </c>
      <c r="C16" s="15">
        <f>SUMPRODUCT(--(TRIM('1-GSPR对照表'!$K$2:$K$24)="部分符合"))</f>
        <v/>
      </c>
      <c r="D16" s="16" t="inlineStr">
        <is>
          <t>写清剩余差距与关闭计划</t>
        </is>
      </c>
    </row>
    <row r="18" ht="30" customHeight="1">
      <c r="B18" s="14" t="inlineStr">
        <is>
          <t>自查未清项合计（①+②+③+④+⑤）</t>
        </is>
      </c>
      <c r="C18" s="18">
        <f>C6+C7+C8+C9+C10</f>
        <v/>
      </c>
      <c r="D18" s="16" t="inlineStr">
        <is>
          <t>为 0 只表示这 5 项机械检查已清空</t>
        </is>
      </c>
    </row>
    <row r="20">
      <c r="B20" s="4" t="inlineStr">
        <is>
          <t>这份表能不能用，不由这张统计页决定</t>
        </is>
      </c>
    </row>
    <row r="21" ht="28" customHeight="1">
      <c r="B21" s="19" t="inlineStr">
        <is>
          <t>上面 5 项只是可以从电子表格里机械检查的部分。它们为 0，只说明「没有留空、没有漏理由、没有自报缺口」。</t>
        </is>
      </c>
    </row>
    <row r="22" ht="28" customHeight="1">
      <c r="B22" s="19" t="inlineStr">
        <is>
          <t>技术充分性、标准适用性、证据有效性，都检查不出来——那需要人去看文件。</t>
        </is>
      </c>
    </row>
    <row r="23" ht="28" customHeight="1">
      <c r="B23" s="19" t="inlineStr">
        <is>
          <t>提交与否、何时提交，必须由具备资质的人员判断并在「4-签署与版本」签署。本文件不对审评结果作任何预期。</t>
        </is>
      </c>
    </row>
  </sheetData>
  <mergeCells count="3">
    <mergeCell ref="B23:D23"/>
    <mergeCell ref="B22:D22"/>
    <mergeCell ref="B21:D21"/>
  </mergeCells>
  <conditionalFormatting sqref="C6">
    <cfRule type="expression" priority="1" dxfId="0">
      <formula>$C6&gt;0</formula>
    </cfRule>
    <cfRule type="expression" priority="2" dxfId="2">
      <formula>$C6=0</formula>
    </cfRule>
  </conditionalFormatting>
  <conditionalFormatting sqref="C7">
    <cfRule type="expression" priority="3" dxfId="0">
      <formula>$C7&gt;0</formula>
    </cfRule>
    <cfRule type="expression" priority="4" dxfId="2">
      <formula>$C7=0</formula>
    </cfRule>
  </conditionalFormatting>
  <conditionalFormatting sqref="C8">
    <cfRule type="expression" priority="5" dxfId="0">
      <formula>$C8&gt;0</formula>
    </cfRule>
    <cfRule type="expression" priority="6" dxfId="2">
      <formula>$C8=0</formula>
    </cfRule>
  </conditionalFormatting>
  <conditionalFormatting sqref="C9">
    <cfRule type="expression" priority="7" dxfId="0">
      <formula>$C9&gt;0</formula>
    </cfRule>
    <cfRule type="expression" priority="8" dxfId="2">
      <formula>$C9=0</formula>
    </cfRule>
  </conditionalFormatting>
  <conditionalFormatting sqref="C10">
    <cfRule type="expression" priority="9" dxfId="0">
      <formula>$C10&gt;0</formula>
    </cfRule>
    <cfRule type="expression" priority="10" dxfId="2">
      <formula>$C10=0</formula>
    </cfRule>
  </conditionalFormatting>
  <conditionalFormatting sqref="C18">
    <cfRule type="expression" priority="11" dxfId="2">
      <formula>$C18=0</formula>
    </cfRule>
    <cfRule type="expression" priority="12" dxfId="1">
      <formula>$C18&gt;0</formula>
    </cfRule>
  </conditionalFormatting>
  <conditionalFormatting sqref="C5">
    <cfRule type="expression" priority="13" dxfId="2">
      <formula>$C5=23</formula>
    </cfRule>
    <cfRule type="expression" priority="14" dxfId="0">
      <formula>$C5&lt;&gt;23</formula>
    </cfRule>
  </conditionalFormatting>
  <pageMargins left="0.75" right="0.75" top="1" bottom="1" header="0.5" footer="0.5"/>
  <headerFooter>
    <oddHeader/>
    <oddFooter>&amp;L本表不构成法规意见，不替代官方文本；结论须由具备资质人员签署&amp;R第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4" customWidth="1" min="3" max="3"/>
    <col width="16" customWidth="1" min="4" max="4"/>
    <col width="32" customWidth="1" min="5" max="5"/>
    <col width="24" customWidth="1" min="6" max="6"/>
    <col width="22" customWidth="1" min="7" max="7"/>
    <col width="11" customWidth="1" min="8" max="8"/>
    <col width="48" customWidth="1" min="9" max="9"/>
  </cols>
  <sheetData>
    <row r="1">
      <c r="A1" s="11" t="inlineStr">
        <is>
          <t>填写示例（虚构产品：某骨科胫骨髓内定位器械，非任何真实客户文件）</t>
        </is>
      </c>
    </row>
    <row r="2">
      <c r="A2" s="12" t="inlineStr">
        <is>
          <t>下面五行演示三种适用性取值 + 两类高频错误。示例里的文件编号全部是虚构占位符，复制任何一行都必须先换掉 I 列。</t>
        </is>
      </c>
    </row>
    <row r="4" ht="34" customHeight="1">
      <c r="A4" s="20" t="inlineStr">
        <is>
          <t>条款号</t>
        </is>
      </c>
      <c r="B4" s="20" t="inlineStr">
        <is>
          <t>适用性</t>
        </is>
      </c>
      <c r="C4" s="20" t="inlineStr">
        <is>
          <t>理由 / 范围说明</t>
        </is>
      </c>
      <c r="D4" s="20" t="inlineStr">
        <is>
          <t>符合性方法 4(b)</t>
        </is>
      </c>
      <c r="E4" s="20" t="inlineStr">
        <is>
          <t>引用标准 4(c)</t>
        </is>
      </c>
      <c r="F4" s="20" t="inlineStr">
        <is>
          <t>受控证据文件 4(d)</t>
        </is>
      </c>
      <c r="G4" s="20" t="inlineStr">
        <is>
          <t>证据位置</t>
        </is>
      </c>
      <c r="H4" s="20" t="inlineStr">
        <is>
          <t>结论</t>
        </is>
      </c>
      <c r="I4" s="20" t="inlineStr">
        <is>
          <t>这条在演示什么</t>
        </is>
      </c>
    </row>
    <row r="5" ht="56" customHeight="1">
      <c r="A5" s="21" t="n">
        <v>1</v>
      </c>
      <c r="B5" s="21" t="inlineStr">
        <is>
          <t>适用</t>
        </is>
      </c>
      <c r="C5" s="9" t="inlineStr"/>
      <c r="D5" s="9" t="inlineStr">
        <is>
          <t>设计验证</t>
        </is>
      </c>
      <c r="E5" s="9" t="inlineStr">
        <is>
          <t>EN ISO 14971:2019+A11:2021 第 7 条</t>
        </is>
      </c>
      <c r="F5" s="9" t="inlineStr">
        <is>
          <t>示例-RA-001 v0.0｜请替换</t>
        </is>
      </c>
      <c r="G5" s="9" t="inlineStr">
        <is>
          <t>示例 §6.1 p.32｜请替换</t>
        </is>
      </c>
      <c r="H5" s="21" t="inlineStr">
        <is>
          <t>符合</t>
        </is>
      </c>
      <c r="I5" s="9" t="inlineStr">
        <is>
          <t>常规条目：适用、有方法、有依据、有受控证据、有位置、有结论。多数条目应该长这样。</t>
        </is>
      </c>
    </row>
    <row r="6" ht="56" customHeight="1">
      <c r="A6" s="21" t="n">
        <v>9</v>
      </c>
      <c r="B6" s="21" t="inlineStr">
        <is>
          <t>不适用</t>
        </is>
      </c>
      <c r="C6" s="9" t="inlineStr">
        <is>
          <t>本产品有明确预期医疗用途，不属于附录 XVI 所列无预期医疗用途产品，故第 9 条不适用。</t>
        </is>
      </c>
      <c r="D6" s="9" t="inlineStr"/>
      <c r="E6" s="9" t="inlineStr"/>
      <c r="F6" s="9" t="inlineStr"/>
      <c r="G6" s="9" t="inlineStr"/>
      <c r="H6" s="21" t="inlineStr">
        <is>
          <t>符合</t>
        </is>
      </c>
      <c r="I6" s="9" t="inlineStr">
        <is>
          <t>★ 不适用必须写理由。留空会标红；少于 10 字会标黄。第 9 条是最高频漏项。常规器械在这一条就是「不适用 + 一行理由」。</t>
        </is>
      </c>
    </row>
    <row r="7" ht="56" customHeight="1">
      <c r="A7" s="21" t="n">
        <v>14</v>
      </c>
      <c r="B7" s="21" t="inlineStr">
        <is>
          <t>部分适用</t>
        </is>
      </c>
      <c r="C7" s="9" t="inlineStr">
        <is>
          <t>14.1–14.5、14.7 适用。14.6「测量、监视或显示刻度须符合人因工程原则」不适用：本器械无测量、监视或显示刻度。</t>
        </is>
      </c>
      <c r="D7" s="9" t="inlineStr">
        <is>
          <t>设计验证</t>
        </is>
      </c>
      <c r="E7" s="9" t="inlineStr">
        <is>
          <t>EN ISO 14971:2019+A11:2021 第 7 条</t>
        </is>
      </c>
      <c r="F7" s="9" t="inlineStr">
        <is>
          <t>示例-DV-014 v0.0｜请替换</t>
        </is>
      </c>
      <c r="G7" s="9" t="inlineStr">
        <is>
          <t>示例 §7.2 p.48｜请替换</t>
        </is>
      </c>
      <c r="H7" s="21" t="inlineStr">
        <is>
          <t>部分符合</t>
        </is>
      </c>
      <c r="I7" s="9" t="inlineStr">
        <is>
          <t>★ 第 14 条含 7 个子条。只写「部分适用」不写清哪几条，等于躲过审查。必须写明范围。</t>
        </is>
      </c>
    </row>
    <row r="8" ht="56" customHeight="1">
      <c r="A8" s="21" t="n">
        <v>17</v>
      </c>
      <c r="B8" s="21" t="inlineStr">
        <is>
          <t>不适用</t>
        </is>
      </c>
      <c r="C8" s="9" t="inlineStr">
        <is>
          <t>本器械为无源手术器械，不含电子可编程系统，本身也不是软件，故第 17 条不适用。</t>
        </is>
      </c>
      <c r="D8" s="9" t="inlineStr"/>
      <c r="E8" s="9" t="inlineStr"/>
      <c r="F8" s="9" t="inlineStr"/>
      <c r="G8" s="9" t="inlineStr"/>
      <c r="H8" s="21" t="inlineStr">
        <is>
          <t>符合</t>
        </is>
      </c>
      <c r="I8" s="9" t="inlineStr">
        <is>
          <t>★ 第 17 条同时管「含软件的器械」和「本身即为器械的软件（SaMD）」。只做硬件的才可整体不适用。</t>
        </is>
      </c>
    </row>
    <row r="9" ht="56" customHeight="1">
      <c r="A9" s="21" t="n">
        <v>23</v>
      </c>
      <c r="B9" s="21" t="inlineStr">
        <is>
          <t>适用</t>
        </is>
      </c>
      <c r="C9" s="9" t="inlineStr"/>
      <c r="D9" s="9" t="inlineStr">
        <is>
          <t>标签与IFU评审</t>
        </is>
      </c>
      <c r="E9" s="9" t="inlineStr">
        <is>
          <t>EN ISO 15223-1:2021；MDR 附录 I 第 23.2 条</t>
        </is>
      </c>
      <c r="F9" s="9" t="inlineStr">
        <is>
          <t>示例-IFU-023 v0.0｜请替换</t>
        </is>
      </c>
      <c r="G9" s="9" t="inlineStr">
        <is>
          <t>示例 §11 p.102｜请替换</t>
        </is>
      </c>
      <c r="H9" s="21" t="inlineStr">
        <is>
          <t>符合</t>
        </is>
      </c>
      <c r="I9" s="9" t="inlineStr">
        <is>
          <t>★ 第 23 条含 23.1–23.4，23.1 内还有 (a)–(k)。只写「标签符合要求」无法定位，建议按子条拆行。</t>
        </is>
      </c>
    </row>
    <row r="11">
      <c r="A11" s="12" t="inlineStr">
        <is>
          <t>照抄示例里的编号，是这张表最常见的错法。编号写错，审核员查不到文件，整行等于没填。</t>
        </is>
      </c>
    </row>
    <row r="13">
      <c r="A13" s="4" t="inlineStr">
        <is>
          <t>三种适用性怎么写</t>
        </is>
      </c>
    </row>
    <row r="14">
      <c r="A14" s="22" t="inlineStr">
        <is>
          <t>适用 → 必须有：符合性方法 + 标准/通用规范 + 受控证据文件标识 + 证据位置 + 结论。</t>
        </is>
      </c>
    </row>
    <row r="15">
      <c r="A15" s="22" t="inlineStr">
        <is>
          <t>部分适用 → 同上，另在理由列写清「哪一部分不适用、为什么」。不写范围的「部分适用」等于躲问题。</t>
        </is>
      </c>
    </row>
    <row r="16">
      <c r="A16" s="22" t="inlineStr">
        <is>
          <t>不适用 → 必须写理由。写「不适用」三个字等于没写；法规要求的是解释为什么其他要求不适用。</t>
        </is>
      </c>
    </row>
  </sheetData>
  <mergeCells count="3">
    <mergeCell ref="A15:I15"/>
    <mergeCell ref="A14:I14"/>
    <mergeCell ref="A16:I16"/>
  </mergeCells>
  <pageMargins left="0.75" right="0.75" top="1" bottom="1" header="0.5" footer="0.5"/>
  <pageSetup orientation="landscape" paperSize="9" fitToHeight="0" fitToWidth="1"/>
  <headerFooter>
    <oddHeader/>
    <oddFooter>&amp;L示例为构造数据，不代表真实产品，不构成任何结论&amp;R第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30" customWidth="1" min="4" max="4"/>
    <col width="26" customWidth="1" min="5" max="5"/>
  </cols>
  <sheetData>
    <row r="1">
      <c r="B1" s="11" t="inlineStr">
        <is>
          <t>文件控制与签署</t>
        </is>
      </c>
    </row>
    <row r="2">
      <c r="B2" s="2" t="inlineStr">
        <is>
          <t>说明页与统计页反复要求「须由具备资质的人员签署」——本页就是那个落点。不填这一页，那份声明就只是一句话。</t>
        </is>
      </c>
    </row>
    <row r="4">
      <c r="B4" s="23" t="inlineStr">
        <is>
          <t>文件编号</t>
        </is>
      </c>
      <c r="C4" s="24" t="inlineStr"/>
      <c r="D4" s="25" t="n"/>
      <c r="E4" s="26" t="inlineStr">
        <is>
          <t>贵司自己的文件编号</t>
        </is>
      </c>
    </row>
    <row r="5">
      <c r="B5" s="23" t="inlineStr">
        <is>
          <t>版本</t>
        </is>
      </c>
      <c r="C5" s="24" t="inlineStr"/>
      <c r="D5" s="25" t="n"/>
      <c r="E5" s="26" t="inlineStr">
        <is>
          <t>填你自己的文件版本（如 v1.0），不是本模板的 v1.2</t>
        </is>
      </c>
    </row>
    <row r="6">
      <c r="B6" s="23" t="inlineStr">
        <is>
          <t>生效日期</t>
        </is>
      </c>
      <c r="C6" s="24" t="inlineStr"/>
      <c r="D6" s="25" t="n"/>
    </row>
    <row r="7">
      <c r="B7" s="23" t="inlineStr">
        <is>
          <t>适用器械 / 型号</t>
        </is>
      </c>
      <c r="C7" s="24" t="inlineStr"/>
      <c r="D7" s="25" t="n"/>
    </row>
    <row r="8">
      <c r="B8" s="23" t="inlineStr">
        <is>
          <t>Basic UDI-DI（如已分配）</t>
        </is>
      </c>
      <c r="C8" s="24" t="inlineStr"/>
      <c r="D8" s="25" t="n"/>
      <c r="E8" s="26" t="inlineStr">
        <is>
          <t>UDI = 唯一器械标识；Basic UDI-DI 标识型号组</t>
        </is>
      </c>
    </row>
    <row r="10">
      <c r="B10" s="4" t="inlineStr">
        <is>
          <t>签署</t>
        </is>
      </c>
    </row>
    <row r="11">
      <c r="B11" s="13" t="inlineStr">
        <is>
          <t>角色</t>
        </is>
      </c>
      <c r="C11" s="13" t="inlineStr">
        <is>
          <t>姓名</t>
        </is>
      </c>
      <c r="D11" s="13" t="inlineStr">
        <is>
          <t>资质 / 经历（须可核验）</t>
        </is>
      </c>
      <c r="E11" s="13" t="inlineStr">
        <is>
          <t>日期</t>
        </is>
      </c>
      <c r="F11" s="13" t="inlineStr">
        <is>
          <t>签字</t>
        </is>
      </c>
    </row>
    <row r="12" ht="26" customHeight="1">
      <c r="B12" s="14" t="inlineStr">
        <is>
          <t>编制</t>
        </is>
      </c>
      <c r="C12" s="24" t="n"/>
      <c r="D12" s="24" t="n"/>
      <c r="E12" s="24" t="n"/>
      <c r="F12" s="24" t="n"/>
    </row>
    <row r="13" ht="26" customHeight="1">
      <c r="B13" s="14" t="inlineStr">
        <is>
          <t>复核</t>
        </is>
      </c>
      <c r="C13" s="24" t="n"/>
      <c r="D13" s="24" t="n"/>
      <c r="E13" s="24" t="n"/>
      <c r="F13" s="24" t="n"/>
    </row>
    <row r="14" ht="26" customHeight="1">
      <c r="B14" s="14" t="inlineStr">
        <is>
          <t>批准</t>
        </is>
      </c>
      <c r="C14" s="24" t="n"/>
      <c r="D14" s="24" t="n"/>
      <c r="E14" s="24" t="n"/>
      <c r="F14" s="24" t="n"/>
    </row>
    <row r="16" ht="30" customHeight="1">
      <c r="B16" s="27" t="inlineStr">
        <is>
          <t>小厂常见情形：编制与复核可以是同一人，但请在备注写清复核方式（外部顾问预审 / 内审 / NB 预评估）。批准人应为对技术文档负最终责任的管理者。三位分离不是本表的要求，是审核时的常见问法。</t>
        </is>
      </c>
    </row>
    <row r="17" ht="30" customHeight="1">
      <c r="B17" s="27" t="inlineStr">
        <is>
          <t>「资质 / 经历」写能被查到的，例如：RA 5 年、MDR 技术文档 3 份、ISO 13485 内审员证号 XXX。不要写「熟悉法规」。</t>
        </is>
      </c>
    </row>
    <row r="18" ht="30" customHeight="1">
      <c r="B18" s="27" t="inlineStr">
        <is>
          <t>本表不替代法规要求的技术文档，也不构成合规判定。签署只表示签署人对本表内容的核实责任，不代表公告机构或主管当局的任何意见。</t>
        </is>
      </c>
    </row>
    <row r="20">
      <c r="B20" s="4" t="inlineStr">
        <is>
          <t>修订记录</t>
        </is>
      </c>
    </row>
    <row r="21">
      <c r="B21" s="13" t="inlineStr">
        <is>
          <t>版本</t>
        </is>
      </c>
      <c r="C21" s="13" t="inlineStr">
        <is>
          <t>日期</t>
        </is>
      </c>
      <c r="D21" s="13" t="inlineStr">
        <is>
          <t>变更内容</t>
        </is>
      </c>
      <c r="E21" s="13" t="inlineStr">
        <is>
          <t>变更人</t>
        </is>
      </c>
    </row>
    <row r="22" ht="48" customHeight="1">
      <c r="B22" s="17" t="inlineStr">
        <is>
          <t>v1.2</t>
        </is>
      </c>
      <c r="C22" s="17" t="inlineStr">
        <is>
          <t>2026-10-21</t>
        </is>
      </c>
      <c r="D22" s="28" t="inlineStr">
        <is>
          <t>第 1–9 条 D 列改为留空（法规原文无条标题，不再重复 C 列）；条数校验改为只数 1–23 原始条号，插入子条不再误判为删行；统计页去除静态红底；E 列待填格改浅黄并加下拉提示；示例编号改为明确的占位符；补 OJ / UDI / 附录 XVI 释义；打印区域扩至 N 列。</t>
        </is>
      </c>
      <c r="E22" s="24" t="n"/>
    </row>
    <row r="23" ht="48" customHeight="1">
      <c r="B23" s="17" t="inlineStr">
        <is>
          <t>v1.1</t>
        </is>
      </c>
      <c r="C23" s="17" t="inlineStr">
        <is>
          <t>2026-10-21</t>
        </is>
      </c>
      <c r="D23" s="28" t="inlineStr">
        <is>
          <t>依 OJ 原文校正 8 处条标题（12/13/14/15/17/19/21/22）；第 14 条原为 MDD 93/42/EEC 措辞；新增文件控制与签署页。</t>
        </is>
      </c>
      <c r="E23" s="24" t="n"/>
    </row>
    <row r="24" ht="20" customHeight="1">
      <c r="B24" s="17" t="inlineStr">
        <is>
          <t>v1.0</t>
        </is>
      </c>
      <c r="C24" s="17" t="inlineStr">
        <is>
          <t>2026-10-21</t>
        </is>
      </c>
      <c r="D24" s="28" t="inlineStr">
        <is>
          <t>初版。</t>
        </is>
      </c>
      <c r="E24" s="24" t="n"/>
    </row>
  </sheetData>
  <mergeCells count="8">
    <mergeCell ref="B17:E17"/>
    <mergeCell ref="B18:E18"/>
    <mergeCell ref="C6:D6"/>
    <mergeCell ref="C7:D7"/>
    <mergeCell ref="C5:D5"/>
    <mergeCell ref="B16:E16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2026-10-21T03:18:12Z</dcterms:created>
  <dcterms:modified xsi:type="dcterms:W3CDTF">2026-10-21T03:18:12Z</dcterms:modified>
</cp:coreProperties>
</file>